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spkAHP-SAW\"/>
    </mc:Choice>
  </mc:AlternateContent>
  <xr:revisionPtr revIDLastSave="0" documentId="13_ncr:1_{EB7FAB7D-31A8-42B9-A06D-CDC115F89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P - Bobot Kriteria" sheetId="1" r:id="rId1"/>
    <sheet name="SAW - Rank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B14" i="2"/>
  <c r="B28" i="1"/>
  <c r="B25" i="1"/>
  <c r="B27" i="1" s="1"/>
  <c r="B29" i="1" s="1"/>
  <c r="B30" i="1" s="1"/>
  <c r="D9" i="1"/>
  <c r="C9" i="1"/>
  <c r="B9" i="1"/>
  <c r="D19" i="2" l="1"/>
  <c r="D20" i="2"/>
  <c r="D21" i="2"/>
  <c r="D22" i="2"/>
  <c r="D23" i="2"/>
  <c r="D26" i="2"/>
  <c r="D24" i="2"/>
  <c r="D25" i="2"/>
  <c r="C24" i="2"/>
  <c r="C20" i="2"/>
  <c r="C21" i="2"/>
  <c r="C22" i="2"/>
  <c r="C23" i="2"/>
  <c r="C26" i="2"/>
  <c r="C25" i="2"/>
  <c r="C19" i="2"/>
  <c r="B25" i="2"/>
  <c r="B19" i="2"/>
  <c r="B24" i="2"/>
  <c r="B23" i="2"/>
  <c r="B22" i="2"/>
  <c r="B21" i="2"/>
  <c r="B20" i="2"/>
  <c r="B26" i="2"/>
  <c r="D14" i="1"/>
  <c r="D13" i="1"/>
  <c r="D15" i="1"/>
  <c r="C13" i="1"/>
  <c r="C16" i="1" s="1"/>
  <c r="C14" i="1"/>
  <c r="C15" i="1"/>
  <c r="B13" i="1"/>
  <c r="B15" i="1"/>
  <c r="E15" i="1" s="1"/>
  <c r="F15" i="1" s="1"/>
  <c r="B14" i="1"/>
  <c r="E14" i="1" s="1"/>
  <c r="F14" i="1" s="1"/>
  <c r="E13" i="1" l="1"/>
  <c r="B16" i="1"/>
  <c r="D16" i="1"/>
  <c r="B38" i="2" l="1"/>
  <c r="B32" i="2"/>
  <c r="B31" i="2"/>
  <c r="B33" i="2"/>
  <c r="B34" i="2"/>
  <c r="B35" i="2"/>
  <c r="B36" i="2"/>
  <c r="B37" i="2"/>
  <c r="C37" i="2" s="1"/>
  <c r="B22" i="1"/>
  <c r="E16" i="1"/>
  <c r="B21" i="1"/>
  <c r="B23" i="1"/>
  <c r="F13" i="1"/>
  <c r="F16" i="1" s="1"/>
  <c r="C38" i="2" l="1"/>
  <c r="C34" i="2"/>
  <c r="C35" i="2"/>
  <c r="C32" i="2"/>
  <c r="C33" i="2"/>
  <c r="C31" i="2"/>
  <c r="C36" i="2"/>
</calcChain>
</file>

<file path=xl/sharedStrings.xml><?xml version="1.0" encoding="utf-8"?>
<sst xmlns="http://schemas.openxmlformats.org/spreadsheetml/2006/main" count="80" uniqueCount="46">
  <si>
    <t>PERHITUNGAN MANUAL AHP - PEMBOBOTAN KRITERIA</t>
  </si>
  <si>
    <t>Studi Kasus: Pemilihan Mentor Program Magang Internal</t>
  </si>
  <si>
    <t>1. Matriks Perbandingan Berpasangan (Skala Saaty)</t>
  </si>
  <si>
    <t>Kriteria</t>
  </si>
  <si>
    <t>C1</t>
  </si>
  <si>
    <t>C2</t>
  </si>
  <si>
    <t>C3</t>
  </si>
  <si>
    <t>C1: English Proficiency Test (EPT)</t>
  </si>
  <si>
    <t>C2: Indeks Prestasi Kumulatif (IPK)</t>
  </si>
  <si>
    <t>C3: Jurusan</t>
  </si>
  <si>
    <t>Jumlah</t>
  </si>
  <si>
    <t>2. Matriks Normalisasi &amp; Bobot Prioritas (Eigenvector)</t>
  </si>
  <si>
    <t>Bobot Prioritas (W)</t>
  </si>
  <si>
    <t>Persentase (%)</t>
  </si>
  <si>
    <t>Total</t>
  </si>
  <si>
    <t>3. Uji Konsistensi AHP</t>
  </si>
  <si>
    <t>A x W (Hasil Kali)</t>
  </si>
  <si>
    <t>lambda = (A x W) / W</t>
  </si>
  <si>
    <t>Lambda Max</t>
  </si>
  <si>
    <t>n (Jumlah Kriteria)</t>
  </si>
  <si>
    <t>CI (Consistency Index)</t>
  </si>
  <si>
    <t>RI (Random Index, n=3)</t>
  </si>
  <si>
    <t>CR (Consistency Ratio)</t>
  </si>
  <si>
    <t>Status Konsistensi</t>
  </si>
  <si>
    <t>PERHITUNGAN MANUAL SAW - PERANKINGAN ALTERNATIF</t>
  </si>
  <si>
    <t>1. Matriks Keputusan (X)</t>
  </si>
  <si>
    <t>Alternatif</t>
  </si>
  <si>
    <t>C1 (EPT)</t>
  </si>
  <si>
    <t>C2 (IPK)</t>
  </si>
  <si>
    <t>C3 (Jurusan)</t>
  </si>
  <si>
    <t>Dewi Andrayani</t>
  </si>
  <si>
    <t>Haykal Azizi</t>
  </si>
  <si>
    <t>Helmi Aziz</t>
  </si>
  <si>
    <t>Sheva Al Nascutha</t>
  </si>
  <si>
    <t>Mahasiswa 5</t>
  </si>
  <si>
    <t>Mahasiswa 6</t>
  </si>
  <si>
    <t>Mahasiswa 7</t>
  </si>
  <si>
    <t>Mahasiswa 8</t>
  </si>
  <si>
    <t>Max / Min</t>
  </si>
  <si>
    <t>Atribut Kriteria</t>
  </si>
  <si>
    <t>Benefit</t>
  </si>
  <si>
    <t>Cost</t>
  </si>
  <si>
    <t>2. Matriks Normalisasi (R)</t>
  </si>
  <si>
    <t>3. Nilai Preferensi (V) &amp; Ranking Akhir</t>
  </si>
  <si>
    <t>Nilai Preferensi (V)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</si>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</sst>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7"/>
        <bgColor rgb="FFF2F4F7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double">
        <color rgb="FF1F4E7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164" fontId="6" fillId="0" borderId="1" xfId="0" applyNumberFormat="1" applyFont="1" applyBorder="1" applyAlignment="1">
      <alignment horizontal="right"/>
    </xf>
    <xf numFmtId="0" fontId="5" fillId="3" borderId="2" xfId="0" applyFont="1" applyFill="1" applyBorder="1"/>
    <xf numFmtId="164" fontId="5" fillId="3" borderId="2" xfId="0" applyNumberFormat="1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10" fontId="6" fillId="0" borderId="1" xfId="0" applyNumberFormat="1" applyFont="1" applyBorder="1" applyAlignment="1">
      <alignment horizontal="right"/>
    </xf>
    <xf numFmtId="10" fontId="5" fillId="3" borderId="2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164" fontId="5" fillId="0" borderId="1" xfId="0" applyNumberFormat="1" applyFont="1" applyBorder="1"/>
    <xf numFmtId="0" fontId="5" fillId="4" borderId="1" xfId="0" applyFont="1" applyFill="1" applyBorder="1"/>
    <xf numFmtId="0" fontId="6" fillId="0" borderId="1" xfId="0" applyFont="1" applyBorder="1" applyAlignment="1">
      <alignment horizontal="right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10</xdr:row>
      <xdr:rowOff>0</xdr:rowOff>
    </xdr:from>
    <xdr:ext cx="1123950" cy="790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13906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1152525" cy="4953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819150" cy="4667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13</xdr:row>
      <xdr:rowOff>0</xdr:rowOff>
    </xdr:from>
    <xdr:ext cx="1209675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594360</xdr:colOff>
      <xdr:row>12</xdr:row>
      <xdr:rowOff>137160</xdr:rowOff>
    </xdr:from>
    <xdr:ext cx="1171575" cy="6096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01100" y="2369820"/>
          <a:ext cx="1171575" cy="6096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160020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E15" sqref="E15"/>
    </sheetView>
  </sheetViews>
  <sheetFormatPr defaultRowHeight="14.4" x14ac:dyDescent="0.3"/>
  <cols>
    <col min="1" max="1" width="40" customWidth="1"/>
    <col min="2" max="2" width="29" customWidth="1"/>
    <col min="3" max="3" width="23" customWidth="1"/>
    <col min="4" max="4" width="16" customWidth="1"/>
    <col min="5" max="5" width="22" customWidth="1"/>
    <col min="6" max="6" width="17" customWidth="1"/>
  </cols>
  <sheetData>
    <row r="1" spans="1:6" ht="17.399999999999999" x14ac:dyDescent="0.3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</row>
    <row r="5" spans="1:6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6" x14ac:dyDescent="0.3">
      <c r="A6" s="5" t="s">
        <v>7</v>
      </c>
      <c r="B6" s="6">
        <v>1</v>
      </c>
      <c r="C6" s="6">
        <v>5</v>
      </c>
      <c r="D6" s="6">
        <v>9</v>
      </c>
    </row>
    <row r="7" spans="1:6" x14ac:dyDescent="0.3">
      <c r="A7" s="5" t="s">
        <v>8</v>
      </c>
      <c r="B7" s="6">
        <v>0.2</v>
      </c>
      <c r="C7" s="6">
        <v>1</v>
      </c>
      <c r="D7" s="6">
        <v>5</v>
      </c>
    </row>
    <row r="8" spans="1:6" x14ac:dyDescent="0.3">
      <c r="A8" s="5" t="s">
        <v>9</v>
      </c>
      <c r="B8" s="6">
        <v>0.111111111</v>
      </c>
      <c r="C8" s="6">
        <v>0.2</v>
      </c>
      <c r="D8" s="6">
        <v>1</v>
      </c>
    </row>
    <row r="9" spans="1:6" x14ac:dyDescent="0.3">
      <c r="A9" s="7" t="s">
        <v>10</v>
      </c>
      <c r="B9" s="8">
        <f>SUM(B6:B8)</f>
        <v>1.311111111</v>
      </c>
      <c r="C9" s="8">
        <f>SUM(C6:C8)</f>
        <v>6.2</v>
      </c>
      <c r="D9" s="8">
        <f>SUM(D6:D8)</f>
        <v>15</v>
      </c>
    </row>
    <row r="11" spans="1:6" x14ac:dyDescent="0.3">
      <c r="A11" s="3" t="s">
        <v>11</v>
      </c>
    </row>
    <row r="12" spans="1:6" x14ac:dyDescent="0.3">
      <c r="A12" s="4" t="s">
        <v>3</v>
      </c>
      <c r="B12" s="4" t="s">
        <v>4</v>
      </c>
      <c r="C12" s="4" t="s">
        <v>5</v>
      </c>
      <c r="D12" s="4" t="s">
        <v>6</v>
      </c>
      <c r="E12" s="4" t="s">
        <v>12</v>
      </c>
      <c r="F12" s="4" t="s">
        <v>13</v>
      </c>
    </row>
    <row r="13" spans="1:6" x14ac:dyDescent="0.3">
      <c r="A13" s="5" t="s">
        <v>7</v>
      </c>
      <c r="B13" s="6">
        <f t="shared" ref="B13:D15" si="0">B6/B$9</f>
        <v>0.76271186447141626</v>
      </c>
      <c r="C13" s="6">
        <f t="shared" si="0"/>
        <v>0.80645161290322576</v>
      </c>
      <c r="D13" s="6">
        <f t="shared" si="0"/>
        <v>0.6</v>
      </c>
      <c r="E13" s="9">
        <f>AVERAGE(B13:D13)</f>
        <v>0.72305449245821407</v>
      </c>
      <c r="F13" s="10">
        <f>E13</f>
        <v>0.72305449245821407</v>
      </c>
    </row>
    <row r="14" spans="1:6" x14ac:dyDescent="0.3">
      <c r="A14" s="5" t="s">
        <v>8</v>
      </c>
      <c r="B14" s="6">
        <f t="shared" si="0"/>
        <v>0.15254237289428327</v>
      </c>
      <c r="C14" s="6">
        <f t="shared" si="0"/>
        <v>0.16129032258064516</v>
      </c>
      <c r="D14" s="6">
        <f t="shared" si="0"/>
        <v>0.33333333333333331</v>
      </c>
      <c r="E14" s="9">
        <f>AVERAGE(B14:D14)</f>
        <v>0.21572200960275389</v>
      </c>
      <c r="F14" s="10">
        <f>E14</f>
        <v>0.21572200960275389</v>
      </c>
    </row>
    <row r="15" spans="1:6" x14ac:dyDescent="0.3">
      <c r="A15" s="5" t="s">
        <v>9</v>
      </c>
      <c r="B15" s="6">
        <f t="shared" si="0"/>
        <v>8.4745762634300489E-2</v>
      </c>
      <c r="C15" s="6">
        <f t="shared" si="0"/>
        <v>3.2258064516129031E-2</v>
      </c>
      <c r="D15" s="6">
        <f t="shared" si="0"/>
        <v>6.6666666666666666E-2</v>
      </c>
      <c r="E15" s="9">
        <f>AVERAGE(B15:D15)</f>
        <v>6.1223497939032062E-2</v>
      </c>
      <c r="F15" s="10">
        <f>E15</f>
        <v>6.1223497939032062E-2</v>
      </c>
    </row>
    <row r="16" spans="1:6" x14ac:dyDescent="0.3">
      <c r="A16" s="7" t="s">
        <v>14</v>
      </c>
      <c r="B16" s="8">
        <f>SUM(B13:B15)</f>
        <v>1</v>
      </c>
      <c r="C16" s="8">
        <f>SUM(C13:C15)</f>
        <v>0.99999999999999989</v>
      </c>
      <c r="D16" s="8">
        <f>SUM(D13:D15)</f>
        <v>1</v>
      </c>
      <c r="E16" s="8">
        <f>SUM(E13:E15)</f>
        <v>1</v>
      </c>
      <c r="F16" s="11">
        <f>SUM(F13:F15)</f>
        <v>1</v>
      </c>
    </row>
    <row r="18" spans="1:3" x14ac:dyDescent="0.3">
      <c r="A18" s="3" t="s">
        <v>15</v>
      </c>
    </row>
    <row r="20" spans="1:3" x14ac:dyDescent="0.3">
      <c r="A20" s="12" t="s">
        <v>3</v>
      </c>
      <c r="B20" s="12" t="s">
        <v>16</v>
      </c>
      <c r="C20" s="12" t="s">
        <v>17</v>
      </c>
    </row>
    <row r="21" spans="1:3" x14ac:dyDescent="0.3">
      <c r="A21" s="5" t="s">
        <v>7</v>
      </c>
      <c r="B21" s="6">
        <f>B6*$E$13+C6*$E$14+D6*$E$15</f>
        <v>2.3526760219232719</v>
      </c>
      <c r="C21" s="6">
        <v>0.98499999999999999</v>
      </c>
    </row>
    <row r="22" spans="1:3" x14ac:dyDescent="0.3">
      <c r="A22" s="5" t="s">
        <v>8</v>
      </c>
      <c r="B22" s="6">
        <f>B7*$E$13+C7*$E$14+D7*$E$15</f>
        <v>0.66645039778955706</v>
      </c>
      <c r="C22" s="6">
        <v>1.075</v>
      </c>
    </row>
    <row r="23" spans="1:3" x14ac:dyDescent="0.3">
      <c r="A23" s="5" t="s">
        <v>9</v>
      </c>
      <c r="B23" s="6">
        <f>B8*$E$13+C8*$E$14+D8*$E$15</f>
        <v>0.18470728783015614</v>
      </c>
      <c r="C23" s="6">
        <v>0.96199999999999997</v>
      </c>
    </row>
    <row r="25" spans="1:3" x14ac:dyDescent="0.3">
      <c r="A25" s="5" t="s">
        <v>18</v>
      </c>
      <c r="B25" s="13">
        <f>SUM(C21:C23)</f>
        <v>3.0220000000000002</v>
      </c>
    </row>
    <row r="26" spans="1:3" x14ac:dyDescent="0.3">
      <c r="A26" s="5" t="s">
        <v>19</v>
      </c>
      <c r="B26" s="5">
        <v>3</v>
      </c>
    </row>
    <row r="27" spans="1:3" x14ac:dyDescent="0.3">
      <c r="A27" s="5" t="s">
        <v>20</v>
      </c>
      <c r="B27" s="13">
        <f>(B25-B26)/(B26-1)</f>
        <v>1.1000000000000121E-2</v>
      </c>
    </row>
    <row r="28" spans="1:3" x14ac:dyDescent="0.3">
      <c r="A28" s="5" t="s">
        <v>21</v>
      </c>
      <c r="B28" s="5">
        <f>CHOOSE(B26, 0, 0, 0.58, 0.9, 1.12, 1.24, 1.32, 1.41, 1.45, 1.49)</f>
        <v>0.57999999999999996</v>
      </c>
    </row>
    <row r="29" spans="1:3" x14ac:dyDescent="0.3">
      <c r="A29" s="5" t="s">
        <v>22</v>
      </c>
      <c r="B29" s="13">
        <f>B27/B28</f>
        <v>1.8965517241379518E-2</v>
      </c>
    </row>
    <row r="30" spans="1:3" x14ac:dyDescent="0.3">
      <c r="A30" s="5" t="s">
        <v>23</v>
      </c>
      <c r="B30" s="14" t="str">
        <f>IF(B29&lt;0.1, "KONSISTEN (OK)", "TIDAK KONSISTEN")</f>
        <v>KONSISTEN (OK)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opLeftCell="A4" workbookViewId="0">
      <selection activeCell="C21" sqref="C21"/>
    </sheetView>
  </sheetViews>
  <sheetFormatPr defaultRowHeight="14.4" x14ac:dyDescent="0.3"/>
  <cols>
    <col min="1" max="1" width="38.109375" customWidth="1"/>
    <col min="2" max="2" width="31.6640625" customWidth="1"/>
    <col min="3" max="3" width="26" customWidth="1"/>
    <col min="4" max="4" width="15" customWidth="1"/>
  </cols>
  <sheetData>
    <row r="1" spans="1:4" ht="17.399999999999999" x14ac:dyDescent="0.3">
      <c r="A1" s="1" t="s">
        <v>24</v>
      </c>
    </row>
    <row r="2" spans="1:4" x14ac:dyDescent="0.3">
      <c r="A2" s="2" t="s">
        <v>1</v>
      </c>
    </row>
    <row r="4" spans="1:4" x14ac:dyDescent="0.3">
      <c r="A4" s="3" t="s">
        <v>25</v>
      </c>
    </row>
    <row r="5" spans="1:4" x14ac:dyDescent="0.3">
      <c r="A5" s="4" t="s">
        <v>26</v>
      </c>
      <c r="B5" s="4" t="s">
        <v>27</v>
      </c>
      <c r="C5" s="4" t="s">
        <v>28</v>
      </c>
      <c r="D5" s="4" t="s">
        <v>29</v>
      </c>
    </row>
    <row r="6" spans="1:4" x14ac:dyDescent="0.3">
      <c r="A6" s="5" t="s">
        <v>30</v>
      </c>
      <c r="B6" s="15">
        <v>4</v>
      </c>
      <c r="C6" s="15">
        <v>3</v>
      </c>
      <c r="D6" s="15">
        <v>3</v>
      </c>
    </row>
    <row r="7" spans="1:4" x14ac:dyDescent="0.3">
      <c r="A7" s="5" t="s">
        <v>31</v>
      </c>
      <c r="B7" s="15">
        <v>4</v>
      </c>
      <c r="C7" s="15">
        <v>3</v>
      </c>
      <c r="D7" s="15">
        <v>5</v>
      </c>
    </row>
    <row r="8" spans="1:4" x14ac:dyDescent="0.3">
      <c r="A8" s="5" t="s">
        <v>32</v>
      </c>
      <c r="B8" s="15">
        <v>5</v>
      </c>
      <c r="C8" s="15">
        <v>5</v>
      </c>
      <c r="D8" s="15">
        <v>3</v>
      </c>
    </row>
    <row r="9" spans="1:4" x14ac:dyDescent="0.3">
      <c r="A9" s="5" t="s">
        <v>33</v>
      </c>
      <c r="B9" s="15">
        <v>3</v>
      </c>
      <c r="C9" s="15">
        <v>3</v>
      </c>
      <c r="D9" s="15">
        <v>3</v>
      </c>
    </row>
    <row r="10" spans="1:4" x14ac:dyDescent="0.3">
      <c r="A10" s="5" t="s">
        <v>34</v>
      </c>
      <c r="B10" s="15">
        <v>1</v>
      </c>
      <c r="C10" s="15">
        <v>3</v>
      </c>
      <c r="D10" s="15">
        <v>2</v>
      </c>
    </row>
    <row r="11" spans="1:4" x14ac:dyDescent="0.3">
      <c r="A11" s="5" t="s">
        <v>35</v>
      </c>
      <c r="B11" s="15">
        <v>2</v>
      </c>
      <c r="C11" s="15">
        <v>2</v>
      </c>
      <c r="D11" s="15">
        <v>1</v>
      </c>
    </row>
    <row r="12" spans="1:4" x14ac:dyDescent="0.3">
      <c r="A12" s="5" t="s">
        <v>36</v>
      </c>
      <c r="B12" s="15">
        <v>1</v>
      </c>
      <c r="C12" s="15">
        <v>4</v>
      </c>
      <c r="D12" s="15">
        <v>2</v>
      </c>
    </row>
    <row r="13" spans="1:4" x14ac:dyDescent="0.3">
      <c r="A13" s="5" t="s">
        <v>37</v>
      </c>
      <c r="B13" s="15">
        <v>2</v>
      </c>
      <c r="C13" s="15">
        <v>3</v>
      </c>
      <c r="D13" s="15">
        <v>4</v>
      </c>
    </row>
    <row r="14" spans="1:4" x14ac:dyDescent="0.3">
      <c r="A14" s="16" t="s">
        <v>38</v>
      </c>
      <c r="B14" s="17">
        <f>MAX(B6:B13)</f>
        <v>5</v>
      </c>
      <c r="C14" s="17">
        <f>MAX(C6:C13)</f>
        <v>5</v>
      </c>
      <c r="D14" s="17">
        <f>MIN(D6:D13)</f>
        <v>1</v>
      </c>
    </row>
    <row r="15" spans="1:4" x14ac:dyDescent="0.3">
      <c r="A15" s="18" t="s">
        <v>39</v>
      </c>
      <c r="B15" s="19" t="s">
        <v>40</v>
      </c>
      <c r="C15" s="19" t="s">
        <v>40</v>
      </c>
      <c r="D15" s="19" t="s">
        <v>41</v>
      </c>
    </row>
    <row r="17" spans="1:4" x14ac:dyDescent="0.3">
      <c r="A17" s="3" t="s">
        <v>42</v>
      </c>
    </row>
    <row r="18" spans="1:4" x14ac:dyDescent="0.3">
      <c r="A18" s="4" t="s">
        <v>26</v>
      </c>
      <c r="B18" s="4" t="s">
        <v>27</v>
      </c>
      <c r="C18" s="4" t="s">
        <v>28</v>
      </c>
      <c r="D18" s="4" t="s">
        <v>29</v>
      </c>
    </row>
    <row r="19" spans="1:4" x14ac:dyDescent="0.3">
      <c r="A19" s="5" t="s">
        <v>30</v>
      </c>
      <c r="B19" s="6">
        <f t="shared" ref="B19:C26" si="0">B6/B$14</f>
        <v>0.8</v>
      </c>
      <c r="C19" s="6">
        <f t="shared" si="0"/>
        <v>0.6</v>
      </c>
      <c r="D19" s="6">
        <f t="shared" ref="D19:D26" si="1">$D$14/D6</f>
        <v>0.33333333333333331</v>
      </c>
    </row>
    <row r="20" spans="1:4" x14ac:dyDescent="0.3">
      <c r="A20" s="5" t="s">
        <v>31</v>
      </c>
      <c r="B20" s="6">
        <f t="shared" si="0"/>
        <v>0.8</v>
      </c>
      <c r="C20" s="6">
        <f t="shared" si="0"/>
        <v>0.6</v>
      </c>
      <c r="D20" s="6">
        <f t="shared" si="1"/>
        <v>0.2</v>
      </c>
    </row>
    <row r="21" spans="1:4" x14ac:dyDescent="0.3">
      <c r="A21" s="5" t="s">
        <v>32</v>
      </c>
      <c r="B21" s="6">
        <f t="shared" si="0"/>
        <v>1</v>
      </c>
      <c r="C21" s="6">
        <f t="shared" si="0"/>
        <v>1</v>
      </c>
      <c r="D21" s="6">
        <f t="shared" si="1"/>
        <v>0.33333333333333331</v>
      </c>
    </row>
    <row r="22" spans="1:4" x14ac:dyDescent="0.3">
      <c r="A22" s="5" t="s">
        <v>33</v>
      </c>
      <c r="B22" s="6">
        <f t="shared" si="0"/>
        <v>0.6</v>
      </c>
      <c r="C22" s="6">
        <f t="shared" si="0"/>
        <v>0.6</v>
      </c>
      <c r="D22" s="6">
        <f t="shared" si="1"/>
        <v>0.33333333333333331</v>
      </c>
    </row>
    <row r="23" spans="1:4" x14ac:dyDescent="0.3">
      <c r="A23" s="5" t="s">
        <v>34</v>
      </c>
      <c r="B23" s="6">
        <f t="shared" si="0"/>
        <v>0.2</v>
      </c>
      <c r="C23" s="6">
        <f t="shared" si="0"/>
        <v>0.6</v>
      </c>
      <c r="D23" s="6">
        <f t="shared" si="1"/>
        <v>0.5</v>
      </c>
    </row>
    <row r="24" spans="1:4" x14ac:dyDescent="0.3">
      <c r="A24" s="5" t="s">
        <v>35</v>
      </c>
      <c r="B24" s="6">
        <f t="shared" si="0"/>
        <v>0.4</v>
      </c>
      <c r="C24" s="6">
        <f t="shared" si="0"/>
        <v>0.4</v>
      </c>
      <c r="D24" s="6">
        <f t="shared" si="1"/>
        <v>1</v>
      </c>
    </row>
    <row r="25" spans="1:4" x14ac:dyDescent="0.3">
      <c r="A25" s="5" t="s">
        <v>36</v>
      </c>
      <c r="B25" s="6">
        <f t="shared" si="0"/>
        <v>0.2</v>
      </c>
      <c r="C25" s="6">
        <f t="shared" si="0"/>
        <v>0.8</v>
      </c>
      <c r="D25" s="6">
        <f t="shared" si="1"/>
        <v>0.5</v>
      </c>
    </row>
    <row r="26" spans="1:4" x14ac:dyDescent="0.3">
      <c r="A26" s="5" t="s">
        <v>37</v>
      </c>
      <c r="B26" s="6">
        <f t="shared" si="0"/>
        <v>0.4</v>
      </c>
      <c r="C26" s="6">
        <f t="shared" si="0"/>
        <v>0.6</v>
      </c>
      <c r="D26" s="6">
        <f t="shared" si="1"/>
        <v>0.25</v>
      </c>
    </row>
    <row r="29" spans="1:4" x14ac:dyDescent="0.3">
      <c r="A29" s="3" t="s">
        <v>43</v>
      </c>
    </row>
    <row r="30" spans="1:4" x14ac:dyDescent="0.3">
      <c r="A30" s="4" t="s">
        <v>26</v>
      </c>
      <c r="B30" s="4" t="s">
        <v>44</v>
      </c>
      <c r="C30" s="4" t="s">
        <v>45</v>
      </c>
    </row>
    <row r="31" spans="1:4" x14ac:dyDescent="0.3">
      <c r="A31" s="5" t="s">
        <v>30</v>
      </c>
      <c r="B31" s="9">
        <f>B19*'AHP - Bobot Kriteria'!$E$13+C19*'AHP - Bobot Kriteria'!$E$14+D19*'AHP - Bobot Kriteria'!$E$15</f>
        <v>0.72828463237456764</v>
      </c>
      <c r="C31" s="20">
        <f t="shared" ref="C31:C38" si="2">RANK(B31, $B$31:$B$38)</f>
        <v>2</v>
      </c>
    </row>
    <row r="32" spans="1:4" x14ac:dyDescent="0.3">
      <c r="A32" s="5" t="s">
        <v>31</v>
      </c>
      <c r="B32" s="9">
        <f>B20*'AHP - Bobot Kriteria'!$E$13+C20*'AHP - Bobot Kriteria'!$E$14+D20*'AHP - Bobot Kriteria'!$E$15</f>
        <v>0.72012149931602998</v>
      </c>
      <c r="C32" s="20">
        <f t="shared" si="2"/>
        <v>3</v>
      </c>
    </row>
    <row r="33" spans="1:3" x14ac:dyDescent="0.3">
      <c r="A33" s="5" t="s">
        <v>32</v>
      </c>
      <c r="B33" s="9">
        <f>B21*'AHP - Bobot Kriteria'!$E$13+C21*'AHP - Bobot Kriteria'!$E$14+D21*'AHP - Bobot Kriteria'!$E$15</f>
        <v>0.95918433470731201</v>
      </c>
      <c r="C33" s="20">
        <f t="shared" si="2"/>
        <v>1</v>
      </c>
    </row>
    <row r="34" spans="1:3" x14ac:dyDescent="0.3">
      <c r="A34" s="5" t="s">
        <v>33</v>
      </c>
      <c r="B34" s="9">
        <f>B22*'AHP - Bobot Kriteria'!$E$13+C22*'AHP - Bobot Kriteria'!$E$14+D22*'AHP - Bobot Kriteria'!$E$15</f>
        <v>0.58367373388292476</v>
      </c>
      <c r="C34" s="20">
        <f t="shared" si="2"/>
        <v>4</v>
      </c>
    </row>
    <row r="35" spans="1:3" x14ac:dyDescent="0.3">
      <c r="A35" s="5" t="s">
        <v>34</v>
      </c>
      <c r="B35" s="9">
        <f>B23*'AHP - Bobot Kriteria'!$E$13+C23*'AHP - Bobot Kriteria'!$E$14+D23*'AHP - Bobot Kriteria'!$E$15</f>
        <v>0.30465585322281119</v>
      </c>
      <c r="C35" s="20">
        <f t="shared" si="2"/>
        <v>8</v>
      </c>
    </row>
    <row r="36" spans="1:3" x14ac:dyDescent="0.3">
      <c r="A36" s="5" t="s">
        <v>35</v>
      </c>
      <c r="B36" s="9">
        <f>B24*'AHP - Bobot Kriteria'!$E$13+C24*'AHP - Bobot Kriteria'!$E$14+D24*'AHP - Bobot Kriteria'!$E$15</f>
        <v>0.43673409876341929</v>
      </c>
      <c r="C36" s="20">
        <f t="shared" si="2"/>
        <v>5</v>
      </c>
    </row>
    <row r="37" spans="1:3" x14ac:dyDescent="0.3">
      <c r="A37" s="5" t="s">
        <v>36</v>
      </c>
      <c r="B37" s="9">
        <f>B25*'AHP - Bobot Kriteria'!$E$13+C25*'AHP - Bobot Kriteria'!$E$14+D25*'AHP - Bobot Kriteria'!$E$15</f>
        <v>0.34780025514336199</v>
      </c>
      <c r="C37" s="20">
        <f t="shared" si="2"/>
        <v>7</v>
      </c>
    </row>
    <row r="38" spans="1:3" x14ac:dyDescent="0.3">
      <c r="A38" s="5" t="s">
        <v>37</v>
      </c>
      <c r="B38" s="9">
        <f>B26*'AHP - Bobot Kriteria'!$E$13+C26*'AHP - Bobot Kriteria'!$E$14+D26*'AHP - Bobot Kriteria'!$E$15</f>
        <v>0.43396087722969595</v>
      </c>
      <c r="C38" s="20">
        <f t="shared" si="2"/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AHP - Bobot Kriteria</vt:lpstr>
      <vt:lpstr>SAW -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helmiazis280@gmail.com</cp:lastModifiedBy>
  <dcterms:created xsi:type="dcterms:W3CDTF">2026-07-02T14:00:44Z</dcterms:created>
  <dcterms:modified xsi:type="dcterms:W3CDTF">2026-07-02T14:15:51Z</dcterms:modified>
</cp:coreProperties>
</file>